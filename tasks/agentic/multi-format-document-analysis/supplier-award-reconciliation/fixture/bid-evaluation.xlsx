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Bid Analysis" sheetId="2" state="visible" r:id="rId4"/>
  </sheets>
  <definedNames>
    <definedName function="false" hidden="false" localSheetId="1" name="_xlnm.Print_Area" vbProcedure="false">'Bid Analysis'!$A$1:$M$11</definedName>
    <definedName function="false" hidden="false" localSheetId="0" name="_xlnm.Print_Area" vbProcedure="false">Dashboard!$A$1:$F$11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B3" authorId="0">
      <text>
        <r>
          <rPr>
            <sz val="10"/>
            <rFont val="Arial"/>
            <family val="2"/>
          </rPr>
          <t xml:space="preserve">Intentionally ranks cost only and does not include assurance eligibility. This rule is benchmark evidence and must not be repaired.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M3" authorId="0">
      <text>
        <r>
          <rPr>
            <sz val="10"/>
            <rFont val="Arial"/>
            <family val="2"/>
          </rPr>
          <t xml:space="preserve">Maximum adjusted first-year cost from the selection policy.</t>
        </r>
      </text>
    </comment>
    <comment ref="M4" authorId="0">
      <text>
        <r>
          <rPr>
            <sz val="10"/>
            <rFont val="Arial"/>
            <family val="2"/>
          </rPr>
          <t xml:space="preserve">Minimum capacity headroom from the selection policy.</t>
        </r>
      </text>
    </comment>
  </commentList>
</comments>
</file>

<file path=xl/sharedStrings.xml><?xml version="1.0" encoding="utf-8"?>
<sst xmlns="http://schemas.openxmlformats.org/spreadsheetml/2006/main" count="31" uniqueCount="30">
  <si>
    <t xml:space="preserve">Commercial Bid Dashboard</t>
  </si>
  <si>
    <t xml:space="preserve">Adjusted first-year cost ranking - commercial view only.</t>
  </si>
  <si>
    <t xml:space="preserve">Recommended supplier</t>
  </si>
  <si>
    <t xml:space="preserve">Lowest adjusted first-year cost</t>
  </si>
  <si>
    <t xml:space="preserve">Recommendation basis</t>
  </si>
  <si>
    <t xml:space="preserve">Decision-use scope</t>
  </si>
  <si>
    <t xml:space="preserve">Commercial ranking only</t>
  </si>
  <si>
    <t xml:space="preserve">Assurance findings are not incorporated</t>
  </si>
  <si>
    <t xml:space="preserve">Governance note</t>
  </si>
  <si>
    <t xml:space="preserve">Final award authority remains with supplier-selection-policy.docx and the signed-final supplier assurance review. This dashboard cannot waive eligibility gates.</t>
  </si>
  <si>
    <t xml:space="preserve">Supplier Bid Analysis</t>
  </si>
  <si>
    <t xml:space="preserve">Typed commercial and capacity inputs with formula-derived eligibility metrics.</t>
  </si>
  <si>
    <t xml:space="preserve">Adjusted-cost ceiling</t>
  </si>
  <si>
    <t xml:space="preserve">Supplier</t>
  </si>
  <si>
    <t xml:space="preserve">Base annual fee</t>
  </si>
  <si>
    <t xml:space="preserve">Mobilization</t>
  </si>
  <si>
    <t xml:space="preserve">Transition credit</t>
  </si>
  <si>
    <t xml:space="preserve">Adjusted first-year cost</t>
  </si>
  <si>
    <t xml:space="preserve">Available units</t>
  </si>
  <si>
    <t xml:space="preserve">Required units</t>
  </si>
  <si>
    <t xml:space="preserve">Capacity headroom</t>
  </si>
  <si>
    <t xml:space="preserve">Cost gate</t>
  </si>
  <si>
    <t xml:space="preserve">Capacity gate</t>
  </si>
  <si>
    <t xml:space="preserve">Minimum headroom</t>
  </si>
  <si>
    <t xml:space="preserve">Atlas</t>
  </si>
  <si>
    <t xml:space="preserve">Boreal</t>
  </si>
  <si>
    <t xml:space="preserve">Cedar</t>
  </si>
  <si>
    <t xml:space="preserve">Delta</t>
  </si>
  <si>
    <t xml:space="preserve">Formula definitions</t>
  </si>
  <si>
    <t xml:space="preserve">Adjusted first-year cost = base annual fee + mobilization - transition credit. Capacity headroom = available units / required units - 1.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</si>
</sst>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EUR ]#,##0"/>
    <numFmt numFmtId="166" formatCode="0\ 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17365D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sz val="11"/>
      <color rgb="FF17365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F2F00"/>
      <name val="Arial"/>
      <family val="0"/>
      <charset val="1"/>
    </font>
    <font>
      <sz val="10"/>
      <color rgb="FF17365D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C65911"/>
        <bgColor rgb="FF993366"/>
      </patternFill>
    </fill>
    <fill>
      <patternFill patternType="solid">
        <fgColor rgb="FFFCE4D6"/>
        <bgColor rgb="FFF2F2F2"/>
      </patternFill>
    </fill>
    <fill>
      <patternFill patternType="solid">
        <fgColor rgb="FF0F6B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E2F0D9"/>
        </patternFill>
      </fill>
    </dxf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C9D6"/>
      <rgbColor rgb="FF808080"/>
      <rgbColor rgb="FF9999FF"/>
      <rgbColor rgb="FF993366"/>
      <rgbColor rgb="FFF2F2F2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5B3D7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4F81BD"/>
      <rgbColor rgb="FF969696"/>
      <rgbColor rgb="FF17365D"/>
      <rgbColor rgb="FF2E7D32"/>
      <rgbColor rgb="FF003300"/>
      <rgbColor rgb="FF333300"/>
      <rgbColor rgb="FF7F2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upplierBidTable" displayName="SupplierBidTable" ref="A4:J8" headerRowCount="1" totalsRowCount="0" totalsRowShown="0">
  <autoFilter ref="A4:J8"/>
  <tableColumns count="10">
    <tableColumn id="1" name="Supplier"/>
    <tableColumn id="2" name="Base annual fee"/>
    <tableColumn id="3" name="Mobilization"/>
    <tableColumn id="4" name="Transition credit"/>
    <tableColumn id="5" name="Adjusted first-year cost"/>
    <tableColumn id="6" name="Available units"/>
    <tableColumn id="7" name="Required units"/>
    <tableColumn id="8" name="Capacity headroom"/>
    <tableColumn id="9" name="Cost gate"/>
    <tableColumn id="10" name="Capacity g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4"/>
    <col collapsed="false" customWidth="true" hidden="false" outlineLevel="0" max="5" min="5" style="0" width="25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7" hidden="false" customHeight="false" outlineLevel="0" collapsed="false">
      <c r="A3" s="3" t="s">
        <v>2</v>
      </c>
      <c r="B3" s="4" t="str">
        <f aca="false">INDEX('Bid Analysis'!A5:A8,MATCH(MIN('Bid Analysis'!E5:E8),'Bid Analysis'!E5:E8,0))</f>
        <v>Cedar</v>
      </c>
    </row>
    <row r="4" customFormat="false" ht="15" hidden="false" customHeight="false" outlineLevel="0" collapsed="false">
      <c r="A4" s="3" t="s">
        <v>3</v>
      </c>
      <c r="B4" s="5" t="n">
        <f aca="false">MIN('Bid Analysis'!E5:E8)</f>
        <v>1080000</v>
      </c>
    </row>
    <row r="5" customFormat="false" ht="27.75" hidden="false" customHeight="true" outlineLevel="0" collapsed="false">
      <c r="A5" s="3" t="s">
        <v>4</v>
      </c>
      <c r="B5" s="6" t="s">
        <v>3</v>
      </c>
    </row>
    <row r="7" customFormat="false" ht="15" hidden="false" customHeight="true" outlineLevel="0" collapsed="false">
      <c r="A7" s="7" t="s">
        <v>5</v>
      </c>
      <c r="B7" s="8" t="s">
        <v>6</v>
      </c>
    </row>
    <row r="8" customFormat="false" ht="15" hidden="false" customHeight="false" outlineLevel="0" collapsed="false">
      <c r="A8" s="7"/>
      <c r="B8" s="8" t="s">
        <v>7</v>
      </c>
    </row>
    <row r="10" customFormat="false" ht="15" hidden="false" customHeight="false" outlineLevel="0" collapsed="false">
      <c r="A10" s="9" t="s">
        <v>8</v>
      </c>
      <c r="B10" s="9"/>
      <c r="C10" s="9"/>
      <c r="D10" s="9"/>
      <c r="E10" s="9"/>
      <c r="F10" s="9"/>
    </row>
    <row r="11" customFormat="false" ht="30" hidden="false" customHeight="true" outlineLevel="0" collapsed="false">
      <c r="A11" s="10" t="s">
        <v>9</v>
      </c>
      <c r="B11" s="10"/>
      <c r="C11" s="10"/>
      <c r="D11" s="10"/>
      <c r="E11" s="10"/>
      <c r="F11" s="10"/>
    </row>
  </sheetData>
  <mergeCells count="5">
    <mergeCell ref="A1:F1"/>
    <mergeCell ref="A2:F2"/>
    <mergeCell ref="A7:A8"/>
    <mergeCell ref="A10:F10"/>
    <mergeCell ref="A11:F11"/>
  </mergeCells>
  <conditionalFormatting sqref="B3">
    <cfRule type="expression" priority="2" aboveAverage="0" equalAverage="0" bottom="0" percent="0" rank="0" text="" dxfId="0">
      <formula>B3="Cedar"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&amp;K666666Synthetic benchmark fixture - supplier award&amp;R&amp;8 &amp;K666666Page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4" min="3" style="0" width="16"/>
    <col collapsed="false" customWidth="true" hidden="false" outlineLevel="0" max="5" min="5" style="0" width="19"/>
    <col collapsed="false" customWidth="true" hidden="false" outlineLevel="0" max="7" min="6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2" min="12" style="0" width="24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7.75" hidden="false" customHeight="tru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L3" s="11" t="s">
        <v>12</v>
      </c>
      <c r="M3" s="12" t="n">
        <v>1200000</v>
      </c>
    </row>
    <row r="4" customFormat="false" ht="33.75" hidden="false" customHeight="true" outlineLevel="0" collapsed="false">
      <c r="A4" s="13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L4" s="11" t="s">
        <v>23</v>
      </c>
      <c r="M4" s="14" t="n">
        <v>0.15</v>
      </c>
    </row>
    <row r="5" customFormat="false" ht="15" hidden="false" customHeight="false" outlineLevel="0" collapsed="false">
      <c r="A5" s="15" t="s">
        <v>24</v>
      </c>
      <c r="B5" s="16" t="n">
        <v>1080000</v>
      </c>
      <c r="C5" s="16" t="n">
        <v>120000</v>
      </c>
      <c r="D5" s="16" t="n">
        <v>60000</v>
      </c>
      <c r="E5" s="16" t="n">
        <f aca="false">B5+C5-D5</f>
        <v>1140000</v>
      </c>
      <c r="F5" s="17" t="n">
        <v>116</v>
      </c>
      <c r="G5" s="17" t="n">
        <v>100</v>
      </c>
      <c r="H5" s="18" t="n">
        <f aca="false">IFERROR(F5/G5-1,0)</f>
        <v>0.16</v>
      </c>
      <c r="I5" s="17" t="str">
        <f aca="false">IF(E5&lt;=$M$3,"PASS","HOLD")</f>
        <v>PASS</v>
      </c>
      <c r="J5" s="17" t="str">
        <f aca="false">IF(H5&gt;=$M$4,"PASS","HOLD")</f>
        <v>PASS</v>
      </c>
    </row>
    <row r="6" customFormat="false" ht="15" hidden="false" customHeight="false" outlineLevel="0" collapsed="false">
      <c r="A6" s="15" t="s">
        <v>25</v>
      </c>
      <c r="B6" s="16" t="n">
        <v>1120000</v>
      </c>
      <c r="C6" s="16" t="n">
        <v>80000</v>
      </c>
      <c r="D6" s="16" t="n">
        <v>35000</v>
      </c>
      <c r="E6" s="16" t="n">
        <f aca="false">B6+C6-D6</f>
        <v>1165000</v>
      </c>
      <c r="F6" s="17" t="n">
        <v>125</v>
      </c>
      <c r="G6" s="17" t="n">
        <v>100</v>
      </c>
      <c r="H6" s="18" t="n">
        <f aca="false">IFERROR(F6/G6-1,0)</f>
        <v>0.25</v>
      </c>
      <c r="I6" s="17" t="str">
        <f aca="false">IF(E6&lt;=$M$3,"PASS","HOLD")</f>
        <v>PASS</v>
      </c>
      <c r="J6" s="17" t="str">
        <f aca="false">IF(H6&gt;=$M$4,"PASS","HOLD")</f>
        <v>PASS</v>
      </c>
    </row>
    <row r="7" customFormat="false" ht="15" hidden="false" customHeight="false" outlineLevel="0" collapsed="false">
      <c r="A7" s="15" t="s">
        <v>26</v>
      </c>
      <c r="B7" s="16" t="n">
        <v>1030000</v>
      </c>
      <c r="C7" s="16" t="n">
        <v>90000</v>
      </c>
      <c r="D7" s="16" t="n">
        <v>40000</v>
      </c>
      <c r="E7" s="16" t="n">
        <f aca="false">B7+C7-D7</f>
        <v>1080000</v>
      </c>
      <c r="F7" s="17" t="n">
        <v>120</v>
      </c>
      <c r="G7" s="17" t="n">
        <v>100</v>
      </c>
      <c r="H7" s="18" t="n">
        <f aca="false">IFERROR(F7/G7-1,0)</f>
        <v>0.2</v>
      </c>
      <c r="I7" s="17" t="str">
        <f aca="false">IF(E7&lt;=$M$3,"PASS","HOLD")</f>
        <v>PASS</v>
      </c>
      <c r="J7" s="17" t="str">
        <f aca="false">IF(H7&gt;=$M$4,"PASS","HOLD")</f>
        <v>PASS</v>
      </c>
    </row>
    <row r="8" customFormat="false" ht="15" hidden="false" customHeight="false" outlineLevel="0" collapsed="false">
      <c r="A8" s="15" t="s">
        <v>27</v>
      </c>
      <c r="B8" s="16" t="n">
        <v>1020000</v>
      </c>
      <c r="C8" s="16" t="n">
        <v>120000</v>
      </c>
      <c r="D8" s="16" t="n">
        <v>10000</v>
      </c>
      <c r="E8" s="16" t="n">
        <f aca="false">B8+C8-D8</f>
        <v>1130000</v>
      </c>
      <c r="F8" s="17" t="n">
        <v>112</v>
      </c>
      <c r="G8" s="17" t="n">
        <v>100</v>
      </c>
      <c r="H8" s="18" t="n">
        <f aca="false">IFERROR(F8/G8-1,0)</f>
        <v>0.12</v>
      </c>
      <c r="I8" s="17" t="str">
        <f aca="false">IF(E8&lt;=$M$3,"PASS","HOLD")</f>
        <v>PASS</v>
      </c>
      <c r="J8" s="17" t="str">
        <f aca="false">IF(H8&gt;=$M$4,"PASS","HOLD")</f>
        <v>HOLD</v>
      </c>
    </row>
    <row r="10" customFormat="false" ht="15" hidden="false" customHeight="false" outlineLevel="0" collapsed="false">
      <c r="A10" s="9" t="s">
        <v>28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27.75" hidden="false" customHeight="true" outlineLevel="0" collapsed="false">
      <c r="A11" s="10" t="s">
        <v>29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</sheetData>
  <mergeCells count="4">
    <mergeCell ref="A1:M1"/>
    <mergeCell ref="A2:M2"/>
    <mergeCell ref="A10:M10"/>
    <mergeCell ref="A11:M11"/>
  </mergeCells>
  <conditionalFormatting sqref="H5:H8">
    <cfRule type="cellIs" priority="2" operator="greaterThanOrEqual" aboveAverage="0" equalAverage="0" bottom="0" percent="0" rank="0" text="" dxfId="0">
      <formula>$M$4</formula>
    </cfRule>
    <cfRule type="cellIs" priority="3" operator="lessThan" aboveAverage="0" equalAverage="0" bottom="0" percent="0" rank="0" text="" dxfId="7">
      <formula>$M$4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&amp;K666666Synthetic benchmark fixture - supplier award&amp;R&amp;8 &amp;K666666Page &amp;P of &amp;N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2026-09-08T16:00:00Z</dcterms:created>
  <dc:creator>Local LLM Benchmark Lab</dc:creator>
  <dc:description>Supplier bid inputs, derived costs and capacity headroom, plus an intentionally assurance-blind commercial dashboard.</dc:description>
  <dc:language>de-DE</dc:language>
  <cp:lastModifiedBy>Local LLM Benchmark Lab</cp:lastModifiedBy>
  <dcterms:modified xsi:type="dcterms:W3CDTF">2026-09-11T20:11:54Z</dcterms:modified>
  <cp:revision>0</cp:revision>
  <dc:subject>Synthetic multi-format benchmark fixture</dc:subject>
  <dc:title>Supplier Bid Evaluation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