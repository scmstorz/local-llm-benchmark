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apacity" sheetId="2" state="visible" r:id="rId4"/>
  </sheets>
  <definedNames>
    <definedName function="false" hidden="false" localSheetId="1" name="_xlnm.Print_Area" vbProcedure="false">Capacity!$A$1:$H$10</definedName>
    <definedName function="false" hidden="false" localSheetId="0" name="_xlnm.Print_Area" vbProcedure="false">Summary!$A$1:$F$11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B3" authorId="0">
      <text>
        <r>
          <rPr>
            <sz val="10"/>
            <rFont val="Arial"/>
            <family val="2"/>
          </rPr>
          <t xml:space="preserve">Intentionally uses portfolio aggregates. This business rule is evidence and must not be repaired.</t>
        </r>
      </text>
    </comment>
    <comment ref="B6" authorId="0">
      <text>
        <r>
          <rPr>
            <sz val="10"/>
            <rFont val="Arial"/>
            <family val="2"/>
          </rPr>
          <t xml:space="preserve">Portfolio support capacity divided by portfolio projected peak load.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D4" authorId="0">
      <text>
        <r>
          <rPr>
            <sz val="10"/>
            <rFont val="Arial"/>
            <family val="2"/>
          </rPr>
          <t xml:space="preserve">Support capacity divided by projected peak load.</t>
        </r>
      </text>
    </comment>
    <comment ref="D5" authorId="0">
      <text>
        <r>
          <rPr>
            <sz val="10"/>
            <rFont val="Arial"/>
            <family val="2"/>
          </rPr>
          <t xml:space="preserve">Support capacity divided by projected peak load.</t>
        </r>
      </text>
    </comment>
    <comment ref="D6" authorId="0">
      <text>
        <r>
          <rPr>
            <sz val="10"/>
            <rFont val="Arial"/>
            <family val="2"/>
          </rPr>
          <t xml:space="preserve">Support capacity divided by projected peak load.</t>
        </r>
      </text>
    </comment>
    <comment ref="D7" authorId="0">
      <text>
        <r>
          <rPr>
            <sz val="10"/>
            <rFont val="Arial"/>
            <family val="2"/>
          </rPr>
          <t xml:space="preserve">Support capacity divided by projected peak load.</t>
        </r>
      </text>
    </comment>
    <comment ref="H3" authorId="0">
      <text>
        <r>
          <rPr>
            <sz val="10"/>
            <rFont val="Arial"/>
            <family val="2"/>
          </rPr>
          <t xml:space="preserve">Minimum support-capacity-to-projected-peak-load ratio from the rollout policy.</t>
        </r>
      </text>
    </comment>
  </commentList>
</comments>
</file>

<file path=xl/sharedStrings.xml><?xml version="1.0" encoding="utf-8"?>
<sst xmlns="http://schemas.openxmlformats.org/spreadsheetml/2006/main" count="27" uniqueCount="26">
  <si>
    <t xml:space="preserve">Regional Readiness Dashboard</t>
  </si>
  <si>
    <t xml:space="preserve">Management portfolio view - validate launch eligibility against the regional rollout policy.</t>
  </si>
  <si>
    <t xml:space="preserve">Portfolio status</t>
  </si>
  <si>
    <t xml:space="preserve">Portfolio thresholds</t>
  </si>
  <si>
    <t xml:space="preserve">Average completion</t>
  </si>
  <si>
    <t xml:space="preserve">Average open issues / region</t>
  </si>
  <si>
    <t xml:space="preserve">Average open issues</t>
  </si>
  <si>
    <t xml:space="preserve">Portfolio capacity ratio</t>
  </si>
  <si>
    <t xml:space="preserve">Aggregate capacity</t>
  </si>
  <si>
    <t xml:space="preserve">Decision-use note</t>
  </si>
  <si>
    <t xml:space="preserve">This dashboard applies a portfolio-level aggregate formula. Regional launch authorization is governed by rollout-policy.docx and must be reconciled with the final reliability review.</t>
  </si>
  <si>
    <t xml:space="preserve">Source basis: portfolio rollup supplied for the 2026-08-31 steering review.</t>
  </si>
  <si>
    <t xml:space="preserve">Regional Support Capacity</t>
  </si>
  <si>
    <t xml:space="preserve">Typed capacity inputs with auditable region-level ratios.</t>
  </si>
  <si>
    <t xml:space="preserve">Region</t>
  </si>
  <si>
    <t xml:space="preserve">Support capacity</t>
  </si>
  <si>
    <t xml:space="preserve">Projected peak load</t>
  </si>
  <si>
    <t xml:space="preserve">Capacity ratio</t>
  </si>
  <si>
    <t xml:space="preserve">Gate check</t>
  </si>
  <si>
    <t xml:space="preserve">Regional capacity gate</t>
  </si>
  <si>
    <t xml:space="preserve">North</t>
  </si>
  <si>
    <t xml:space="preserve">Central</t>
  </si>
  <si>
    <t xml:space="preserve">West</t>
  </si>
  <si>
    <t xml:space="preserve">East</t>
  </si>
  <si>
    <t xml:space="preserve">Formula note</t>
  </si>
  <si>
    <t xml:space="preserve">Capacity ratio = support capacity / projected peak load. Gate check compares each regional ratio with the 1.25 policy threshold.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</si>
</sst>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\ %"/>
    <numFmt numFmtId="166" formatCode="0\ %"/>
    <numFmt numFmtId="167" formatCode="0.00"/>
    <numFmt numFmtId="168" formatCode="0.0000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7365D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7365D"/>
      <name val="Arial"/>
      <family val="0"/>
      <charset val="1"/>
    </font>
    <font>
      <sz val="10"/>
      <color rgb="FF17365D"/>
      <name val="Arial"/>
      <family val="0"/>
      <charset val="1"/>
    </font>
    <font>
      <sz val="10"/>
      <color rgb="FF7F2F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0F6B78"/>
        <bgColor rgb="FF008080"/>
      </patternFill>
    </fill>
    <fill>
      <patternFill patternType="solid">
        <fgColor rgb="FFC65911"/>
        <bgColor rgb="FF993366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thin">
        <color rgb="FFB7C9D6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E2F0D9"/>
        </patternFill>
      </fill>
    </dxf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7" type="wholeTable"/>
      <tableStyleElement dxfId="8" type="firstColumnStripe"/>
      <tableStyleElement dxfId="9" type="first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4F81BD"/>
      <rgbColor rgb="FF9999FF"/>
      <rgbColor rgb="FF993366"/>
      <rgbColor rgb="FFF2F2F2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5B3D7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2E7D32"/>
      <rgbColor rgb="FF003300"/>
      <rgbColor rgb="FF333300"/>
      <rgbColor rgb="FF7F2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onalCapacityTable" displayName="RegionalCapacityTable" ref="A3:E7" headerRowCount="1" totalsRowCount="0" totalsRowShown="0">
  <autoFilter ref="A3:E7"/>
  <tableColumns count="5">
    <tableColumn id="1" name="Region"/>
    <tableColumn id="2" name="Support capacity"/>
    <tableColumn id="3" name="Projected peak load"/>
    <tableColumn id="4" name="Capacity ratio"/>
    <tableColumn id="5" name="Gate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9"/>
    <col collapsed="false" customWidth="true" hidden="false" outlineLevel="0" max="3" min="3" style="0" width="4"/>
    <col collapsed="false" customWidth="true" hidden="false" outlineLevel="0" max="4" min="4" style="0" width="3"/>
    <col collapsed="false" customWidth="true" hidden="false" outlineLevel="0" max="5" min="5" style="0" width="27"/>
    <col collapsed="false" customWidth="true" hidden="false" outlineLevel="0" max="6" min="6" style="0" width="1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7" hidden="false" customHeight="false" outlineLevel="0" collapsed="false">
      <c r="A3" s="3" t="s">
        <v>2</v>
      </c>
      <c r="B3" s="4" t="str">
        <f aca="false">IF(AND(B4&gt;=$F$4,B5&lt;=$F$5,B6&gt;=$F$6),"GO","HOLD")</f>
        <v>GO</v>
      </c>
      <c r="E3" s="5" t="s">
        <v>3</v>
      </c>
      <c r="F3" s="5"/>
    </row>
    <row r="4" customFormat="false" ht="15" hidden="false" customHeight="false" outlineLevel="0" collapsed="false">
      <c r="A4" s="3" t="s">
        <v>4</v>
      </c>
      <c r="B4" s="6" t="n">
        <v>0.9625</v>
      </c>
      <c r="E4" s="3" t="s">
        <v>4</v>
      </c>
      <c r="F4" s="7" t="n">
        <v>0.95</v>
      </c>
    </row>
    <row r="5" customFormat="false" ht="15" hidden="false" customHeight="false" outlineLevel="0" collapsed="false">
      <c r="A5" s="3" t="s">
        <v>5</v>
      </c>
      <c r="B5" s="8" t="n">
        <v>1.25</v>
      </c>
      <c r="E5" s="3" t="s">
        <v>6</v>
      </c>
      <c r="F5" s="9" t="n">
        <v>2</v>
      </c>
    </row>
    <row r="6" customFormat="false" ht="15" hidden="false" customHeight="false" outlineLevel="0" collapsed="false">
      <c r="A6" s="3" t="s">
        <v>7</v>
      </c>
      <c r="B6" s="10" t="n">
        <f aca="false">SUM(Capacity!B4:B7)/SUM(Capacity!C4:C7)</f>
        <v>1.35604395604396</v>
      </c>
      <c r="E6" s="3" t="s">
        <v>8</v>
      </c>
      <c r="F6" s="9" t="n">
        <f aca="false">Capacity!H3</f>
        <v>1.25</v>
      </c>
    </row>
    <row r="8" customFormat="false" ht="15" hidden="false" customHeight="false" outlineLevel="0" collapsed="false">
      <c r="A8" s="11" t="s">
        <v>9</v>
      </c>
      <c r="B8" s="11"/>
      <c r="C8" s="11"/>
      <c r="D8" s="11"/>
      <c r="E8" s="11"/>
      <c r="F8" s="11"/>
    </row>
    <row r="9" customFormat="false" ht="27.75" hidden="false" customHeight="true" outlineLevel="0" collapsed="false">
      <c r="A9" s="12" t="s">
        <v>10</v>
      </c>
      <c r="B9" s="12"/>
      <c r="C9" s="12"/>
      <c r="D9" s="12"/>
      <c r="E9" s="12"/>
      <c r="F9" s="12"/>
    </row>
    <row r="10" customFormat="false" ht="18" hidden="false" customHeight="true" outlineLevel="0" collapsed="false">
      <c r="A10" s="12"/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13" t="s">
        <v>11</v>
      </c>
      <c r="B11" s="13"/>
      <c r="C11" s="13"/>
      <c r="D11" s="13"/>
      <c r="E11" s="13"/>
      <c r="F11" s="13"/>
    </row>
  </sheetData>
  <mergeCells count="6">
    <mergeCell ref="A1:F1"/>
    <mergeCell ref="A2:F2"/>
    <mergeCell ref="E3:F3"/>
    <mergeCell ref="A8:F8"/>
    <mergeCell ref="A9:F10"/>
    <mergeCell ref="A11:F11"/>
  </mergeCells>
  <conditionalFormatting sqref="B3">
    <cfRule type="expression" priority="2" aboveAverage="0" equalAverage="0" bottom="0" percent="0" rank="0" text="" dxfId="0">
      <formula>B3="GO"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&amp;K666666Synthetic benchmark fixture - regional readiness&amp;R&amp;8 &amp;K666666Page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G3" s="3" t="s">
        <v>19</v>
      </c>
      <c r="H3" s="15" t="n">
        <v>1.25</v>
      </c>
    </row>
    <row r="4" customFormat="false" ht="15" hidden="false" customHeight="false" outlineLevel="0" collapsed="false">
      <c r="A4" s="16" t="s">
        <v>20</v>
      </c>
      <c r="B4" s="17" t="n">
        <v>137</v>
      </c>
      <c r="C4" s="17" t="n">
        <v>108</v>
      </c>
      <c r="D4" s="18" t="n">
        <f aca="false">IFERROR(B4/C4,0)</f>
        <v>1.26851851851852</v>
      </c>
      <c r="E4" s="19" t="str">
        <f aca="false">IF(D4&gt;=$H$3,"PASS","HOLD")</f>
        <v>PASS</v>
      </c>
    </row>
    <row r="5" customFormat="false" ht="15" hidden="false" customHeight="false" outlineLevel="0" collapsed="false">
      <c r="A5" s="16" t="s">
        <v>21</v>
      </c>
      <c r="B5" s="17" t="n">
        <v>150</v>
      </c>
      <c r="C5" s="17" t="n">
        <v>117</v>
      </c>
      <c r="D5" s="18" t="n">
        <f aca="false">IFERROR(B5/C5,0)</f>
        <v>1.28205128205128</v>
      </c>
      <c r="E5" s="19" t="str">
        <f aca="false">IF(D5&gt;=$H$3,"PASS","HOLD")</f>
        <v>PASS</v>
      </c>
    </row>
    <row r="6" customFormat="false" ht="15" hidden="false" customHeight="false" outlineLevel="0" collapsed="false">
      <c r="A6" s="16" t="s">
        <v>22</v>
      </c>
      <c r="B6" s="17" t="n">
        <v>150</v>
      </c>
      <c r="C6" s="17" t="n">
        <v>100</v>
      </c>
      <c r="D6" s="18" t="n">
        <f aca="false">IFERROR(B6/C6,0)</f>
        <v>1.5</v>
      </c>
      <c r="E6" s="19" t="str">
        <f aca="false">IF(D6&gt;=$H$3,"PASS","HOLD")</f>
        <v>PASS</v>
      </c>
    </row>
    <row r="7" customFormat="false" ht="15" hidden="false" customHeight="false" outlineLevel="0" collapsed="false">
      <c r="A7" s="16" t="s">
        <v>23</v>
      </c>
      <c r="B7" s="17" t="n">
        <v>180</v>
      </c>
      <c r="C7" s="17" t="n">
        <v>130</v>
      </c>
      <c r="D7" s="18" t="n">
        <f aca="false">IFERROR(B7/C7,0)</f>
        <v>1.38461538461538</v>
      </c>
      <c r="E7" s="19" t="str">
        <f aca="false">IF(D7&gt;=$H$3,"PASS","HOLD")</f>
        <v>PASS</v>
      </c>
    </row>
    <row r="9" customFormat="false" ht="15" hidden="false" customHeight="false" outlineLevel="0" collapsed="false">
      <c r="A9" s="20" t="s">
        <v>24</v>
      </c>
      <c r="B9" s="20"/>
      <c r="C9" s="20"/>
      <c r="D9" s="20"/>
      <c r="E9" s="20"/>
      <c r="F9" s="20"/>
      <c r="G9" s="20"/>
      <c r="H9" s="20"/>
    </row>
    <row r="10" customFormat="false" ht="27.75" hidden="false" customHeight="true" outlineLevel="0" collapsed="false">
      <c r="A10" s="21" t="s">
        <v>25</v>
      </c>
      <c r="B10" s="21"/>
      <c r="C10" s="21"/>
      <c r="D10" s="21"/>
      <c r="E10" s="21"/>
      <c r="F10" s="21"/>
      <c r="G10" s="21"/>
      <c r="H10" s="21"/>
    </row>
  </sheetData>
  <mergeCells count="4">
    <mergeCell ref="A1:H1"/>
    <mergeCell ref="A2:H2"/>
    <mergeCell ref="A9:H9"/>
    <mergeCell ref="A10:H10"/>
  </mergeCells>
  <conditionalFormatting sqref="D4:D7">
    <cfRule type="cellIs" priority="2" operator="greaterThanOrEqual" aboveAverage="0" equalAverage="0" bottom="0" percent="0" rank="0" text="" dxfId="0">
      <formula>$H$3</formula>
    </cfRule>
    <cfRule type="cellIs" priority="3" operator="lessThan" aboveAverage="0" equalAverage="0" bottom="0" percent="0" rank="0" text="" dxfId="6">
      <formula>$H$3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&amp;K666666Synthetic benchmark fixture - regional readiness&amp;R&amp;8 &amp;K666666Page &amp;P of &amp;N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2026-09-10T12:00:00Z</dcterms:created>
  <dc:creator>Local LLM Benchmark Lab</dc:creator>
  <dc:description>Capacity inputs, formula-derived regional ratios and an intentionally misleading portfolio dashboard.</dc:description>
  <dc:language>de-DE</dc:language>
  <cp:lastModifiedBy>Local LLM Benchmark Lab</cp:lastModifiedBy>
  <dcterms:modified xsi:type="dcterms:W3CDTF">2026-09-10T12:06:06Z</dcterms:modified>
  <cp:revision>0</cp:revision>
  <dc:subject>Synthetic multi-format benchmark fixture</dc:subject>
  <dc:title>Regional Readiness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